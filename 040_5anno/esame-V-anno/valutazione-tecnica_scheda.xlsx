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struzioni" sheetId="1" state="visible" r:id="rId3"/>
    <sheet name="Valutazion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<sst xmlns="http://schemas.openxmlformats.org/spreadsheetml/2006/main" count="89" uniqueCount="88">
  <si>
    <t xml:space="preserve">Scheda di valutazione – Progettazione rete</t>
  </si>
  <si>
    <t xml:space="preserve">Scala di valutazione (per ogni voce):</t>
  </si>
  <si>
    <t xml:space="preserve">0 = assente</t>
  </si>
  <si>
    <t xml:space="preserve">1 = errato</t>
  </si>
  <si>
    <t xml:space="preserve">2 = molto parziale</t>
  </si>
  <si>
    <t xml:space="preserve">3 = parziale</t>
  </si>
  <si>
    <t xml:space="preserve">4 = corretto ma non ottimale ma funzionante</t>
  </si>
  <si>
    <t xml:space="preserve">5 = ottimale</t>
  </si>
  <si>
    <t xml:space="preserve">Uso:</t>
  </si>
  <si>
    <t xml:space="preserve">1. Inserire un voto da 0 a 5 per ciascuna voce nel foglio 'Valutazione'.</t>
  </si>
  <si>
    <t xml:space="preserve">2. Le medie di sezione e il punteggio finale vengono calcolati automaticamente.</t>
  </si>
  <si>
    <t xml:space="preserve">3. Il voto finale è normalizzato su 20.</t>
  </si>
  <si>
    <t xml:space="preserve">Nota importante:</t>
  </si>
  <si>
    <t xml:space="preserve">Il calcolo corretto usa la media delle sezioni pesate, non la somma di tutte le righe.</t>
  </si>
  <si>
    <t xml:space="preserve">Penalità (eventuale applicazione manuale):</t>
  </si>
  <si>
    <t xml:space="preserve">- DB esposto: -5</t>
  </si>
  <si>
    <t xml:space="preserve">- assenza VLAN: -5</t>
  </si>
  <si>
    <t xml:space="preserve">- assenza routing: -5</t>
  </si>
  <si>
    <t xml:space="preserve">- IP errati / overlap: -4</t>
  </si>
  <si>
    <t xml:space="preserve">- ospiti non isolati: -4</t>
  </si>
  <si>
    <t xml:space="preserve">Sezione</t>
  </si>
  <si>
    <t xml:space="preserve">Voce</t>
  </si>
  <si>
    <t xml:space="preserve">Voto (0-5)</t>
  </si>
  <si>
    <t xml:space="preserve">Media sezione</t>
  </si>
  <si>
    <t xml:space="preserve">Peso</t>
  </si>
  <si>
    <t xml:space="preserve">Punteggio pesato</t>
  </si>
  <si>
    <t xml:space="preserve">1. Architettura</t>
  </si>
  <si>
    <t xml:space="preserve">Scelta architettura</t>
  </si>
  <si>
    <t xml:space="preserve">Motivazione</t>
  </si>
  <si>
    <t xml:space="preserve">Firewall (presenza + posizione)</t>
  </si>
  <si>
    <t xml:space="preserve">Core + struttura flussi</t>
  </si>
  <si>
    <t xml:space="preserve">2. VLAN</t>
  </si>
  <si>
    <t xml:space="preserve">VLAN utenti</t>
  </si>
  <si>
    <t xml:space="preserve">VLAN server</t>
  </si>
  <si>
    <t xml:space="preserve">VLAN ospiti</t>
  </si>
  <si>
    <t xml:space="preserve">VLAN management</t>
  </si>
  <si>
    <t xml:space="preserve">VLAN DMZ</t>
  </si>
  <si>
    <t xml:space="preserve">Coerenza generale</t>
  </si>
  <si>
    <t xml:space="preserve">3. Indirizzamento IP</t>
  </si>
  <si>
    <t xml:space="preserve">Uso IP privati</t>
  </si>
  <si>
    <t xml:space="preserve">Struttura blocco</t>
  </si>
  <si>
    <t xml:space="preserve">Subnet per VLAN</t>
  </si>
  <si>
    <t xml:space="preserve">Gateway</t>
  </si>
  <si>
    <t xml:space="preserve">Assenza overlap</t>
  </si>
  <si>
    <t xml:space="preserve">4. Server</t>
  </si>
  <si>
    <t xml:space="preserve">WEB in DMZ</t>
  </si>
  <si>
    <t xml:space="preserve">DB interno</t>
  </si>
  <si>
    <t xml:space="preserve">Separazione WEB/DB</t>
  </si>
  <si>
    <t xml:space="preserve">Server interni</t>
  </si>
  <si>
    <t xml:space="preserve">5. Pubblicazione servizi</t>
  </si>
  <si>
    <t xml:space="preserve">Raggiungibilità WEB</t>
  </si>
  <si>
    <t xml:space="preserve">Metodo (NAT/proxy)</t>
  </si>
  <si>
    <t xml:space="preserve">Porte corrette</t>
  </si>
  <si>
    <t xml:space="preserve">6. Routing</t>
  </si>
  <si>
    <t xml:space="preserve">Inter-VLAN</t>
  </si>
  <si>
    <t xml:space="preserve">Posizione routing</t>
  </si>
  <si>
    <t xml:space="preserve">Default route</t>
  </si>
  <si>
    <t xml:space="preserve">Percorso traffico</t>
  </si>
  <si>
    <t xml:space="preserve">7. NAT</t>
  </si>
  <si>
    <t xml:space="preserve">PAT uscita</t>
  </si>
  <si>
    <t xml:space="preserve">NAT ingresso</t>
  </si>
  <si>
    <t xml:space="preserve">Coerenza firewall</t>
  </si>
  <si>
    <t xml:space="preserve">8. Sicurezza</t>
  </si>
  <si>
    <t xml:space="preserve">Internet → WEB</t>
  </si>
  <si>
    <t xml:space="preserve">WEB → DB</t>
  </si>
  <si>
    <t xml:space="preserve">Blocco Internet → DB</t>
  </si>
  <si>
    <t xml:space="preserve">Isolamento ospiti</t>
  </si>
  <si>
    <t xml:space="preserve">Controllo inter-VLAN</t>
  </si>
  <si>
    <t xml:space="preserve">9. Switching</t>
  </si>
  <si>
    <t xml:space="preserve">Porte access</t>
  </si>
  <si>
    <t xml:space="preserve">Trunk tra switch</t>
  </si>
  <si>
    <t xml:space="preserve">Coerenza VLAN</t>
  </si>
  <si>
    <t xml:space="preserve">10. Wi‑Fi</t>
  </si>
  <si>
    <t xml:space="preserve">SSID separati</t>
  </si>
  <si>
    <t xml:space="preserve">Mapping VLAN</t>
  </si>
  <si>
    <t xml:space="preserve">11. Collegamenti sedi</t>
  </si>
  <si>
    <t xml:space="preserve">Tecnologia</t>
  </si>
  <si>
    <t xml:space="preserve">Routing</t>
  </si>
  <si>
    <t xml:space="preserve">12. Schema e tabelle</t>
  </si>
  <si>
    <t xml:space="preserve">Schema rete</t>
  </si>
  <si>
    <t xml:space="preserve">Tabelle VLAN/IP</t>
  </si>
  <si>
    <t xml:space="preserve">13. Coerenza finale</t>
  </si>
  <si>
    <t xml:space="preserve">Funzionamento reale</t>
  </si>
  <si>
    <t xml:space="preserve">Motivazioni tecniche</t>
  </si>
  <si>
    <t xml:space="preserve">Somma punteggi pesati</t>
  </si>
  <si>
    <t xml:space="preserve">Somma pesi</t>
  </si>
  <si>
    <t xml:space="preserve">Media pesata (0-5)</t>
  </si>
  <si>
    <t xml:space="preserve">Voto finale su 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</si>
</sst>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E2F0D9"/>
      </patternFill>
    </fill>
    <fill>
      <patternFill patternType="solid">
        <fgColor rgb="FFE2F0D9"/>
        <bgColor rgb="FFD9E2F3"/>
      </patternFill>
    </fill>
    <fill>
      <patternFill patternType="solid">
        <fgColor rgb="FFFFF2CC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95"/>
  </cols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9" customFormat="false" ht="15" hidden="false" customHeight="false" outlineLevel="0" collapsed="false">
      <c r="A9" s="0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>
      <c r="A12" s="0" t="s">
        <v>9</v>
      </c>
    </row>
    <row r="13" customFormat="false" ht="15" hidden="false" customHeight="false" outlineLevel="0" collapsed="false">
      <c r="A13" s="0" t="s">
        <v>10</v>
      </c>
    </row>
    <row r="14" customFormat="false" ht="15" hidden="false" customHeight="false" outlineLevel="0" collapsed="false">
      <c r="A14" s="0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">
        <v>13</v>
      </c>
    </row>
    <row r="19" customFormat="false" ht="15" hidden="false" customHeight="false" outlineLevel="0" collapsed="false">
      <c r="A19" s="0" t="s">
        <v>14</v>
      </c>
    </row>
    <row r="20" customFormat="false" ht="15" hidden="false" customHeight="false" outlineLevel="0" collapsed="false">
      <c r="A20" s="0" t="s">
        <v>15</v>
      </c>
    </row>
    <row r="21" customFormat="false" ht="15" hidden="false" customHeight="false" outlineLevel="0" collapsed="false">
      <c r="A21" s="0" t="s">
        <v>16</v>
      </c>
    </row>
    <row r="22" customFormat="false" ht="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0" t="s">
        <v>18</v>
      </c>
    </row>
    <row r="24" customFormat="false" ht="15" hidden="false" customHeight="false" outlineLevel="0" collapsed="false">
      <c r="A24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6" activePane="bottomLeft" state="frozen"/>
      <selection pane="topLeft" activeCell="A1" activeCellId="0" sqref="A1"/>
      <selection pane="bottomLeft" activeCell="K41" activeCellId="0" sqref="K4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customFormat="false" ht="15" hidden="false" customHeight="true" outlineLevel="0" collapsed="false">
      <c r="A2" s="2" t="s">
        <v>26</v>
      </c>
      <c r="B2" s="2" t="s">
        <v>27</v>
      </c>
      <c r="C2" s="3" t="n">
        <v>5</v>
      </c>
      <c r="D2" s="4" t="n">
        <f aca="false">IF(COUNT(C2:C5)=0,"",AVERAGE(C2:C5))</f>
        <v>5</v>
      </c>
      <c r="E2" s="2" t="n">
        <v>3</v>
      </c>
      <c r="F2" s="4" t="n">
        <f aca="false">IF(D2="","",D2*E2)</f>
        <v>15</v>
      </c>
    </row>
    <row r="3" customFormat="false" ht="15" hidden="false" customHeight="false" outlineLevel="0" collapsed="false">
      <c r="A3" s="2"/>
      <c r="B3" s="2" t="s">
        <v>28</v>
      </c>
      <c r="C3" s="3" t="n">
        <v>5</v>
      </c>
      <c r="D3" s="2"/>
      <c r="E3" s="2"/>
      <c r="F3" s="2"/>
    </row>
    <row r="4" customFormat="false" ht="15" hidden="false" customHeight="false" outlineLevel="0" collapsed="false">
      <c r="A4" s="2"/>
      <c r="B4" s="2" t="s">
        <v>29</v>
      </c>
      <c r="C4" s="3" t="n">
        <v>5</v>
      </c>
      <c r="D4" s="2"/>
      <c r="E4" s="2"/>
      <c r="F4" s="2"/>
    </row>
    <row r="5" customFormat="false" ht="15" hidden="false" customHeight="false" outlineLevel="0" collapsed="false">
      <c r="A5" s="2"/>
      <c r="B5" s="2" t="s">
        <v>30</v>
      </c>
      <c r="C5" s="3" t="n">
        <v>5</v>
      </c>
      <c r="D5" s="2"/>
      <c r="E5" s="2"/>
      <c r="F5" s="2"/>
    </row>
    <row r="6" customFormat="false" ht="15" hidden="false" customHeight="true" outlineLevel="0" collapsed="false">
      <c r="A6" s="2" t="s">
        <v>31</v>
      </c>
      <c r="B6" s="2" t="s">
        <v>32</v>
      </c>
      <c r="C6" s="3" t="n">
        <v>5</v>
      </c>
      <c r="D6" s="4" t="n">
        <f aca="false">IF(COUNT(C6:C11)=0,"",AVERAGE(C6:C11))</f>
        <v>5</v>
      </c>
      <c r="E6" s="2" t="n">
        <v>4</v>
      </c>
      <c r="F6" s="4" t="n">
        <f aca="false">IF(D6="","",D6*E6)</f>
        <v>20</v>
      </c>
    </row>
    <row r="7" customFormat="false" ht="15" hidden="false" customHeight="false" outlineLevel="0" collapsed="false">
      <c r="A7" s="2"/>
      <c r="B7" s="2" t="s">
        <v>33</v>
      </c>
      <c r="C7" s="3" t="n">
        <v>5</v>
      </c>
      <c r="D7" s="2"/>
      <c r="E7" s="2"/>
      <c r="F7" s="2"/>
    </row>
    <row r="8" customFormat="false" ht="15" hidden="false" customHeight="false" outlineLevel="0" collapsed="false">
      <c r="A8" s="2"/>
      <c r="B8" s="2" t="s">
        <v>34</v>
      </c>
      <c r="C8" s="3" t="n">
        <v>5</v>
      </c>
      <c r="D8" s="2"/>
      <c r="E8" s="2"/>
      <c r="F8" s="2"/>
    </row>
    <row r="9" customFormat="false" ht="15" hidden="false" customHeight="false" outlineLevel="0" collapsed="false">
      <c r="A9" s="2"/>
      <c r="B9" s="2" t="s">
        <v>35</v>
      </c>
      <c r="C9" s="3" t="n">
        <v>5</v>
      </c>
      <c r="D9" s="2"/>
      <c r="E9" s="2"/>
      <c r="F9" s="2"/>
    </row>
    <row r="10" customFormat="false" ht="15" hidden="false" customHeight="false" outlineLevel="0" collapsed="false">
      <c r="A10" s="2"/>
      <c r="B10" s="2" t="s">
        <v>36</v>
      </c>
      <c r="C10" s="3" t="n">
        <v>5</v>
      </c>
      <c r="D10" s="2"/>
      <c r="E10" s="2"/>
      <c r="F10" s="2"/>
    </row>
    <row r="11" customFormat="false" ht="15" hidden="false" customHeight="false" outlineLevel="0" collapsed="false">
      <c r="A11" s="2"/>
      <c r="B11" s="2" t="s">
        <v>37</v>
      </c>
      <c r="C11" s="3" t="n">
        <v>5</v>
      </c>
      <c r="D11" s="2"/>
      <c r="E11" s="2"/>
      <c r="F11" s="2"/>
    </row>
    <row r="12" customFormat="false" ht="15" hidden="false" customHeight="true" outlineLevel="0" collapsed="false">
      <c r="A12" s="2" t="s">
        <v>38</v>
      </c>
      <c r="B12" s="2" t="s">
        <v>39</v>
      </c>
      <c r="C12" s="3" t="n">
        <v>5</v>
      </c>
      <c r="D12" s="4" t="n">
        <f aca="false">IF(COUNT(C12:C16)=0,"",AVERAGE(C12:C16))</f>
        <v>5</v>
      </c>
      <c r="E12" s="2" t="n">
        <v>3</v>
      </c>
      <c r="F12" s="4" t="n">
        <f aca="false">IF(D12="","",D12*E12)</f>
        <v>15</v>
      </c>
    </row>
    <row r="13" customFormat="false" ht="15" hidden="false" customHeight="false" outlineLevel="0" collapsed="false">
      <c r="A13" s="2"/>
      <c r="B13" s="2" t="s">
        <v>40</v>
      </c>
      <c r="C13" s="3" t="n">
        <v>5</v>
      </c>
      <c r="D13" s="2"/>
      <c r="E13" s="2"/>
      <c r="F13" s="2"/>
    </row>
    <row r="14" customFormat="false" ht="15" hidden="false" customHeight="false" outlineLevel="0" collapsed="false">
      <c r="A14" s="2"/>
      <c r="B14" s="2" t="s">
        <v>41</v>
      </c>
      <c r="C14" s="3" t="n">
        <v>5</v>
      </c>
      <c r="D14" s="2"/>
      <c r="E14" s="2"/>
      <c r="F14" s="2"/>
    </row>
    <row r="15" customFormat="false" ht="15" hidden="false" customHeight="false" outlineLevel="0" collapsed="false">
      <c r="A15" s="2"/>
      <c r="B15" s="2" t="s">
        <v>42</v>
      </c>
      <c r="C15" s="3" t="n">
        <v>5</v>
      </c>
      <c r="D15" s="2"/>
      <c r="E15" s="2"/>
      <c r="F15" s="2"/>
    </row>
    <row r="16" customFormat="false" ht="15" hidden="false" customHeight="false" outlineLevel="0" collapsed="false">
      <c r="A16" s="2"/>
      <c r="B16" s="2" t="s">
        <v>43</v>
      </c>
      <c r="C16" s="3" t="n">
        <v>5</v>
      </c>
      <c r="D16" s="2"/>
      <c r="E16" s="2"/>
      <c r="F16" s="2"/>
    </row>
    <row r="17" customFormat="false" ht="15" hidden="false" customHeight="true" outlineLevel="0" collapsed="false">
      <c r="A17" s="2" t="s">
        <v>44</v>
      </c>
      <c r="B17" s="2" t="s">
        <v>45</v>
      </c>
      <c r="C17" s="3" t="n">
        <v>5</v>
      </c>
      <c r="D17" s="4" t="n">
        <f aca="false">IF(COUNT(C17:C20)=0,"",AVERAGE(C17:C20))</f>
        <v>5</v>
      </c>
      <c r="E17" s="2" t="n">
        <v>3</v>
      </c>
      <c r="F17" s="4" t="n">
        <f aca="false">IF(D17="","",D17*E17)</f>
        <v>15</v>
      </c>
    </row>
    <row r="18" customFormat="false" ht="15" hidden="false" customHeight="false" outlineLevel="0" collapsed="false">
      <c r="A18" s="2"/>
      <c r="B18" s="2" t="s">
        <v>46</v>
      </c>
      <c r="C18" s="3" t="n">
        <v>5</v>
      </c>
      <c r="D18" s="2"/>
      <c r="E18" s="2"/>
      <c r="F18" s="2"/>
    </row>
    <row r="19" customFormat="false" ht="15" hidden="false" customHeight="false" outlineLevel="0" collapsed="false">
      <c r="A19" s="2"/>
      <c r="B19" s="2" t="s">
        <v>47</v>
      </c>
      <c r="C19" s="3" t="n">
        <v>5</v>
      </c>
      <c r="D19" s="2"/>
      <c r="E19" s="2"/>
      <c r="F19" s="2"/>
    </row>
    <row r="20" customFormat="false" ht="15" hidden="false" customHeight="false" outlineLevel="0" collapsed="false">
      <c r="A20" s="2"/>
      <c r="B20" s="2" t="s">
        <v>48</v>
      </c>
      <c r="C20" s="3" t="n">
        <v>5</v>
      </c>
      <c r="D20" s="2"/>
      <c r="E20" s="2"/>
      <c r="F20" s="2"/>
    </row>
    <row r="21" customFormat="false" ht="15" hidden="false" customHeight="true" outlineLevel="0" collapsed="false">
      <c r="A21" s="2" t="s">
        <v>49</v>
      </c>
      <c r="B21" s="2" t="s">
        <v>50</v>
      </c>
      <c r="C21" s="3" t="n">
        <v>5</v>
      </c>
      <c r="D21" s="4" t="n">
        <f aca="false">IF(COUNT(C21:C23)=0,"",AVERAGE(C21:C23))</f>
        <v>5</v>
      </c>
      <c r="E21" s="2" t="n">
        <v>3</v>
      </c>
      <c r="F21" s="4" t="n">
        <f aca="false">IF(D21="","",D21*E21)</f>
        <v>15</v>
      </c>
    </row>
    <row r="22" customFormat="false" ht="15" hidden="false" customHeight="false" outlineLevel="0" collapsed="false">
      <c r="A22" s="2"/>
      <c r="B22" s="2" t="s">
        <v>51</v>
      </c>
      <c r="C22" s="3" t="n">
        <v>5</v>
      </c>
      <c r="D22" s="2"/>
      <c r="E22" s="2"/>
      <c r="F22" s="2"/>
    </row>
    <row r="23" customFormat="false" ht="15" hidden="false" customHeight="false" outlineLevel="0" collapsed="false">
      <c r="A23" s="2"/>
      <c r="B23" s="2" t="s">
        <v>52</v>
      </c>
      <c r="C23" s="3" t="n">
        <v>5</v>
      </c>
      <c r="D23" s="2"/>
      <c r="E23" s="2"/>
      <c r="F23" s="2"/>
    </row>
    <row r="24" customFormat="false" ht="15" hidden="false" customHeight="true" outlineLevel="0" collapsed="false">
      <c r="A24" s="2" t="s">
        <v>53</v>
      </c>
      <c r="B24" s="2" t="s">
        <v>54</v>
      </c>
      <c r="C24" s="3" t="n">
        <v>5</v>
      </c>
      <c r="D24" s="4" t="n">
        <f aca="false">IF(COUNT(C24:C27)=0,"",AVERAGE(C24:C27))</f>
        <v>5</v>
      </c>
      <c r="E24" s="2" t="n">
        <v>3</v>
      </c>
      <c r="F24" s="4" t="n">
        <f aca="false">IF(D24="","",D24*E24)</f>
        <v>15</v>
      </c>
    </row>
    <row r="25" customFormat="false" ht="15" hidden="false" customHeight="false" outlineLevel="0" collapsed="false">
      <c r="A25" s="2"/>
      <c r="B25" s="2" t="s">
        <v>55</v>
      </c>
      <c r="C25" s="3" t="n">
        <v>5</v>
      </c>
      <c r="D25" s="2"/>
      <c r="E25" s="2"/>
      <c r="F25" s="2"/>
    </row>
    <row r="26" customFormat="false" ht="15" hidden="false" customHeight="false" outlineLevel="0" collapsed="false">
      <c r="A26" s="2"/>
      <c r="B26" s="2" t="s">
        <v>56</v>
      </c>
      <c r="C26" s="3" t="n">
        <v>5</v>
      </c>
      <c r="D26" s="2"/>
      <c r="E26" s="2"/>
      <c r="F26" s="2"/>
    </row>
    <row r="27" customFormat="false" ht="15" hidden="false" customHeight="false" outlineLevel="0" collapsed="false">
      <c r="A27" s="2"/>
      <c r="B27" s="2" t="s">
        <v>57</v>
      </c>
      <c r="C27" s="3" t="n">
        <v>5</v>
      </c>
      <c r="D27" s="2"/>
      <c r="E27" s="2"/>
      <c r="F27" s="2"/>
    </row>
    <row r="28" customFormat="false" ht="15" hidden="false" customHeight="true" outlineLevel="0" collapsed="false">
      <c r="A28" s="2" t="s">
        <v>58</v>
      </c>
      <c r="B28" s="2" t="s">
        <v>59</v>
      </c>
      <c r="C28" s="3" t="n">
        <v>5</v>
      </c>
      <c r="D28" s="4" t="n">
        <f aca="false">IF(COUNT(C28:C30)=0,"",AVERAGE(C28:C30))</f>
        <v>5</v>
      </c>
      <c r="E28" s="2" t="n">
        <v>2</v>
      </c>
      <c r="F28" s="4" t="n">
        <f aca="false">IF(D28="","",D28*E28)</f>
        <v>10</v>
      </c>
    </row>
    <row r="29" customFormat="false" ht="15" hidden="false" customHeight="false" outlineLevel="0" collapsed="false">
      <c r="A29" s="2"/>
      <c r="B29" s="2" t="s">
        <v>60</v>
      </c>
      <c r="C29" s="3" t="n">
        <v>5</v>
      </c>
      <c r="D29" s="2"/>
      <c r="E29" s="2"/>
      <c r="F29" s="2"/>
    </row>
    <row r="30" customFormat="false" ht="15" hidden="false" customHeight="false" outlineLevel="0" collapsed="false">
      <c r="A30" s="2"/>
      <c r="B30" s="2" t="s">
        <v>61</v>
      </c>
      <c r="C30" s="3" t="n">
        <v>5</v>
      </c>
      <c r="D30" s="2"/>
      <c r="E30" s="2"/>
      <c r="F30" s="2"/>
    </row>
    <row r="31" customFormat="false" ht="15" hidden="false" customHeight="true" outlineLevel="0" collapsed="false">
      <c r="A31" s="2" t="s">
        <v>62</v>
      </c>
      <c r="B31" s="2" t="s">
        <v>63</v>
      </c>
      <c r="C31" s="3" t="n">
        <v>5</v>
      </c>
      <c r="D31" s="4" t="n">
        <f aca="false">IF(COUNT(C31:C35)=0,"",AVERAGE(C31:C35))</f>
        <v>5</v>
      </c>
      <c r="E31" s="2" t="n">
        <v>4</v>
      </c>
      <c r="F31" s="4" t="n">
        <f aca="false">IF(D31="","",D31*E31)</f>
        <v>20</v>
      </c>
    </row>
    <row r="32" customFormat="false" ht="15" hidden="false" customHeight="false" outlineLevel="0" collapsed="false">
      <c r="A32" s="2"/>
      <c r="B32" s="2" t="s">
        <v>64</v>
      </c>
      <c r="C32" s="3" t="n">
        <v>5</v>
      </c>
      <c r="D32" s="2"/>
      <c r="E32" s="2"/>
      <c r="F32" s="2"/>
    </row>
    <row r="33" customFormat="false" ht="15" hidden="false" customHeight="false" outlineLevel="0" collapsed="false">
      <c r="A33" s="2"/>
      <c r="B33" s="2" t="s">
        <v>65</v>
      </c>
      <c r="C33" s="3" t="n">
        <v>5</v>
      </c>
      <c r="D33" s="2"/>
      <c r="E33" s="2"/>
      <c r="F33" s="2"/>
    </row>
    <row r="34" customFormat="false" ht="15" hidden="false" customHeight="false" outlineLevel="0" collapsed="false">
      <c r="A34" s="2"/>
      <c r="B34" s="2" t="s">
        <v>66</v>
      </c>
      <c r="C34" s="3" t="n">
        <v>5</v>
      </c>
      <c r="D34" s="2"/>
      <c r="E34" s="2"/>
      <c r="F34" s="2"/>
    </row>
    <row r="35" customFormat="false" ht="15" hidden="false" customHeight="false" outlineLevel="0" collapsed="false">
      <c r="A35" s="2"/>
      <c r="B35" s="2" t="s">
        <v>67</v>
      </c>
      <c r="C35" s="3" t="n">
        <v>5</v>
      </c>
      <c r="D35" s="2"/>
      <c r="E35" s="2"/>
      <c r="F35" s="2"/>
    </row>
    <row r="36" customFormat="false" ht="15" hidden="false" customHeight="true" outlineLevel="0" collapsed="false">
      <c r="A36" s="2" t="s">
        <v>68</v>
      </c>
      <c r="B36" s="2" t="s">
        <v>69</v>
      </c>
      <c r="C36" s="3" t="n">
        <v>5</v>
      </c>
      <c r="D36" s="4" t="n">
        <f aca="false">IF(COUNT(C36:C38)=0,"",AVERAGE(C36:C38))</f>
        <v>5</v>
      </c>
      <c r="E36" s="2" t="n">
        <v>2</v>
      </c>
      <c r="F36" s="4" t="n">
        <f aca="false">IF(D36="","",D36*E36)</f>
        <v>10</v>
      </c>
    </row>
    <row r="37" customFormat="false" ht="15" hidden="false" customHeight="false" outlineLevel="0" collapsed="false">
      <c r="A37" s="2"/>
      <c r="B37" s="2" t="s">
        <v>70</v>
      </c>
      <c r="C37" s="3" t="n">
        <v>5</v>
      </c>
      <c r="D37" s="2"/>
      <c r="E37" s="2"/>
      <c r="F37" s="2"/>
    </row>
    <row r="38" customFormat="false" ht="15" hidden="false" customHeight="false" outlineLevel="0" collapsed="false">
      <c r="A38" s="2"/>
      <c r="B38" s="2" t="s">
        <v>71</v>
      </c>
      <c r="C38" s="3" t="n">
        <v>5</v>
      </c>
      <c r="D38" s="2"/>
      <c r="E38" s="2"/>
      <c r="F38" s="2"/>
    </row>
    <row r="39" customFormat="false" ht="15" hidden="false" customHeight="true" outlineLevel="0" collapsed="false">
      <c r="A39" s="2" t="s">
        <v>72</v>
      </c>
      <c r="B39" s="2" t="s">
        <v>73</v>
      </c>
      <c r="C39" s="3" t="n">
        <v>5</v>
      </c>
      <c r="D39" s="4" t="n">
        <f aca="false">IF(COUNT(C39:C40)=0,"",AVERAGE(C39:C40))</f>
        <v>5</v>
      </c>
      <c r="E39" s="2" t="n">
        <v>1</v>
      </c>
      <c r="F39" s="4" t="n">
        <f aca="false">IF(D39="","",D39*E39)</f>
        <v>5</v>
      </c>
    </row>
    <row r="40" customFormat="false" ht="15" hidden="false" customHeight="false" outlineLevel="0" collapsed="false">
      <c r="A40" s="2"/>
      <c r="B40" s="2" t="s">
        <v>74</v>
      </c>
      <c r="C40" s="3" t="n">
        <v>5</v>
      </c>
      <c r="D40" s="2"/>
      <c r="E40" s="2"/>
      <c r="F40" s="2"/>
    </row>
    <row r="41" customFormat="false" ht="15" hidden="false" customHeight="true" outlineLevel="0" collapsed="false">
      <c r="A41" s="2" t="s">
        <v>75</v>
      </c>
      <c r="B41" s="2" t="s">
        <v>76</v>
      </c>
      <c r="C41" s="3" t="n">
        <v>5</v>
      </c>
      <c r="D41" s="4" t="n">
        <f aca="false">IF(COUNT(C41:C42)=0,"",AVERAGE(C41:C42))</f>
        <v>5</v>
      </c>
      <c r="E41" s="2" t="n">
        <v>1</v>
      </c>
      <c r="F41" s="4" t="n">
        <f aca="false">IF(D41="","",D41*E41)</f>
        <v>5</v>
      </c>
    </row>
    <row r="42" customFormat="false" ht="15" hidden="false" customHeight="false" outlineLevel="0" collapsed="false">
      <c r="A42" s="2"/>
      <c r="B42" s="2" t="s">
        <v>77</v>
      </c>
      <c r="C42" s="3" t="n">
        <v>5</v>
      </c>
      <c r="D42" s="2"/>
      <c r="E42" s="2"/>
      <c r="F42" s="2"/>
    </row>
    <row r="43" customFormat="false" ht="15" hidden="false" customHeight="true" outlineLevel="0" collapsed="false">
      <c r="A43" s="2" t="s">
        <v>78</v>
      </c>
      <c r="B43" s="2" t="s">
        <v>79</v>
      </c>
      <c r="C43" s="3" t="n">
        <v>5</v>
      </c>
      <c r="D43" s="4" t="n">
        <f aca="false">IF(COUNT(C43:C44)=0,"",AVERAGE(C43:C44))</f>
        <v>5</v>
      </c>
      <c r="E43" s="2" t="n">
        <v>1</v>
      </c>
      <c r="F43" s="4" t="n">
        <f aca="false">IF(D43="","",D43*E43)</f>
        <v>5</v>
      </c>
    </row>
    <row r="44" customFormat="false" ht="15" hidden="false" customHeight="false" outlineLevel="0" collapsed="false">
      <c r="A44" s="2"/>
      <c r="B44" s="2" t="s">
        <v>80</v>
      </c>
      <c r="C44" s="3" t="n">
        <v>5</v>
      </c>
      <c r="D44" s="2"/>
      <c r="E44" s="2"/>
      <c r="F44" s="2"/>
    </row>
    <row r="45" customFormat="false" ht="15" hidden="false" customHeight="true" outlineLevel="0" collapsed="false">
      <c r="A45" s="2" t="s">
        <v>81</v>
      </c>
      <c r="B45" s="2" t="s">
        <v>37</v>
      </c>
      <c r="C45" s="3" t="n">
        <v>5</v>
      </c>
      <c r="D45" s="4" t="n">
        <f aca="false">IF(COUNT(C45:C47)=0,"",AVERAGE(C45:C47))</f>
        <v>5</v>
      </c>
      <c r="E45" s="2" t="n">
        <v>3</v>
      </c>
      <c r="F45" s="4" t="n">
        <f aca="false">IF(D45="","",D45*E45)</f>
        <v>15</v>
      </c>
    </row>
    <row r="46" customFormat="false" ht="15" hidden="false" customHeight="false" outlineLevel="0" collapsed="false">
      <c r="A46" s="2"/>
      <c r="B46" s="2" t="s">
        <v>82</v>
      </c>
      <c r="C46" s="3" t="n">
        <v>5</v>
      </c>
      <c r="D46" s="2"/>
      <c r="E46" s="2"/>
      <c r="F46" s="2"/>
    </row>
    <row r="47" customFormat="false" ht="15" hidden="false" customHeight="false" outlineLevel="0" collapsed="false">
      <c r="A47" s="2"/>
      <c r="B47" s="2" t="s">
        <v>83</v>
      </c>
      <c r="C47" s="3" t="n">
        <v>5</v>
      </c>
      <c r="D47" s="2"/>
      <c r="E47" s="2"/>
      <c r="F47" s="2"/>
    </row>
    <row r="49" customFormat="false" ht="15" hidden="false" customHeight="false" outlineLevel="0" collapsed="false">
      <c r="A49" s="5" t="s">
        <v>84</v>
      </c>
      <c r="B49" s="6"/>
      <c r="C49" s="6"/>
      <c r="D49" s="6"/>
      <c r="E49" s="6"/>
      <c r="F49" s="7" t="n">
        <f aca="false">F2+F6+F12+F17+F21+F24+F28+F31+F36+F39+F41+F43+F45</f>
        <v>165</v>
      </c>
    </row>
    <row r="50" customFormat="false" ht="15" hidden="false" customHeight="false" outlineLevel="0" collapsed="false">
      <c r="A50" s="5" t="s">
        <v>85</v>
      </c>
      <c r="B50" s="6"/>
      <c r="C50" s="6"/>
      <c r="D50" s="6"/>
      <c r="E50" s="6"/>
      <c r="F50" s="7" t="n">
        <v>33</v>
      </c>
    </row>
    <row r="51" customFormat="false" ht="15" hidden="false" customHeight="false" outlineLevel="0" collapsed="false">
      <c r="A51" s="5" t="s">
        <v>86</v>
      </c>
      <c r="B51" s="6"/>
      <c r="C51" s="6"/>
      <c r="D51" s="6"/>
      <c r="E51" s="6"/>
      <c r="F51" s="7" t="n">
        <f aca="false">IF(F50=0,"",F49/F50)</f>
        <v>5</v>
      </c>
    </row>
    <row r="52" customFormat="false" ht="15" hidden="false" customHeight="false" outlineLevel="0" collapsed="false">
      <c r="A52" s="5" t="s">
        <v>87</v>
      </c>
      <c r="B52" s="6"/>
      <c r="C52" s="6"/>
      <c r="D52" s="6"/>
      <c r="E52" s="6"/>
      <c r="F52" s="7" t="n">
        <f aca="false">IF(F51="","",F51*4)</f>
        <v>20</v>
      </c>
    </row>
  </sheetData>
  <mergeCells count="13">
    <mergeCell ref="A2:A5"/>
    <mergeCell ref="A6:A11"/>
    <mergeCell ref="A12:A16"/>
    <mergeCell ref="A17:A20"/>
    <mergeCell ref="A21:A23"/>
    <mergeCell ref="A24:A27"/>
    <mergeCell ref="A28:A30"/>
    <mergeCell ref="A31:A35"/>
    <mergeCell ref="A36:A38"/>
    <mergeCell ref="A39:A40"/>
    <mergeCell ref="A41:A42"/>
    <mergeCell ref="A43:A44"/>
    <mergeCell ref="A45:A47"/>
  </mergeCells>
  <dataValidations count="1">
    <dataValidation allowBlank="true" error="Valore non valido. Inserire un intero tra 0 e 5." errorStyle="stop" operator="between" prompt="Inserire un voto intero da 0 a 5" showDropDown="false" showErrorMessage="false" showInputMessage="false" sqref="C2:C47" type="whole">
      <formula1>0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2026-04-12T16:55:00Z</dcterms:created>
  <dc:creator>openpyxl</dc:creator>
  <dc:description/>
  <dc:language>it-IT</dc:language>
  <cp:lastModifiedBy/>
  <dcterms:modified xsi:type="dcterms:W3CDTF">2026-04-12T18:57:15Z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